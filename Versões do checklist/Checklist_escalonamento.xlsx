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D:\working\waccache\CW2PEPF000355B6\EXCELCNV\85f2ad77-41e0-4b25-a019-0007ff7d173f\"/>
    </mc:Choice>
  </mc:AlternateContent>
  <xr:revisionPtr revIDLastSave="0" documentId="8_{51CC3C19-C309-403C-98F9-76A3A92F61C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Checklist" sheetId="1" r:id="rId1"/>
    <sheet name="Aderênc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B29" i="2"/>
  <c r="B28" i="2"/>
  <c r="B27" i="2"/>
  <c r="B26" i="2"/>
  <c r="B25" i="2"/>
  <c r="B24" i="2"/>
  <c r="B23" i="2"/>
  <c r="B22" i="2"/>
  <c r="B21" i="2"/>
  <c r="B20" i="2"/>
  <c r="F19" i="2"/>
  <c r="B19" i="2"/>
  <c r="F18" i="2"/>
  <c r="B18" i="2"/>
  <c r="F17" i="2"/>
  <c r="B17" i="2"/>
  <c r="B16" i="2"/>
  <c r="B15" i="2"/>
  <c r="F16" i="2" s="1"/>
  <c r="B14" i="2"/>
  <c r="F15" i="2" s="1"/>
  <c r="F20" i="2" s="1"/>
  <c r="B7" i="2"/>
  <c r="B6" i="2"/>
  <c r="B5" i="2"/>
  <c r="B9" i="2" s="1"/>
  <c r="N6" i="1"/>
  <c r="N5" i="1"/>
  <c r="N4" i="1"/>
  <c r="N8" i="1" s="1"/>
  <c r="N7" i="1" l="1"/>
  <c r="O6" i="1"/>
  <c r="G20" i="2"/>
  <c r="B10" i="2"/>
  <c r="B8" i="2"/>
  <c r="C7" i="2"/>
  <c r="G19" i="2"/>
  <c r="G18" i="2"/>
  <c r="G17" i="2"/>
  <c r="G16" i="2"/>
  <c r="G15" i="2"/>
  <c r="C10" i="2" l="1"/>
  <c r="C9" i="2"/>
  <c r="F10" i="2" s="1"/>
  <c r="F11" i="2" s="1"/>
  <c r="C8" i="2"/>
  <c r="C6" i="2"/>
  <c r="C5" i="2"/>
  <c r="O8" i="1"/>
  <c r="R9" i="1" s="1"/>
  <c r="O7" i="1"/>
  <c r="O5" i="1"/>
  <c r="O4" i="1"/>
  <c r="R10" i="1" l="1"/>
</calcChain>
</file>

<file path=xl/sharedStrings.xml><?xml version="1.0" encoding="utf-8"?>
<sst xmlns="http://schemas.openxmlformats.org/spreadsheetml/2006/main" count="147" uniqueCount="102">
  <si>
    <t>Nº</t>
  </si>
  <si>
    <t>Descrição</t>
  </si>
  <si>
    <t>Resultado</t>
  </si>
  <si>
    <t>Data e hora da Identificação da NC</t>
  </si>
  <si>
    <t>Responsável pela resolução</t>
  </si>
  <si>
    <t>Classificação da NCF</t>
  </si>
  <si>
    <t>Ação corretiva indicada</t>
  </si>
  <si>
    <t>Data prevista de resolução</t>
  </si>
  <si>
    <t>Data e hora do escalonamento</t>
  </si>
  <si>
    <t>Data e hora da conclusão da NC</t>
  </si>
  <si>
    <t>Status da NC</t>
  </si>
  <si>
    <t>Indicador</t>
  </si>
  <si>
    <t>Quantidade</t>
  </si>
  <si>
    <t>Taxa</t>
  </si>
  <si>
    <t>Faixa de aderência</t>
  </si>
  <si>
    <t>Classificação</t>
  </si>
  <si>
    <t>Interpretação</t>
  </si>
  <si>
    <t>O documento apresenta o título e a estrutura geral conforme o template estabelecido?</t>
  </si>
  <si>
    <t>Conforme</t>
  </si>
  <si>
    <t>Nº de pontos de avaliação</t>
  </si>
  <si>
    <t>0% - 60%</t>
  </si>
  <si>
    <t>Baixa aderência</t>
  </si>
  <si>
    <t>Necessita correções relevantes</t>
  </si>
  <si>
    <t>A seção 1.1 apresenta nome, finalidade, endereço web, público-alvo e justificativa da escolha do sistema?</t>
  </si>
  <si>
    <t>Conformes</t>
  </si>
  <si>
    <t>61% - 90%</t>
  </si>
  <si>
    <t>Aderência parcial</t>
  </si>
  <si>
    <t>Atende parcialmente ao template</t>
  </si>
  <si>
    <t>A seção 1.2 descreve claramente os objetivos do teste e os aspectos de qualidade que serão avaliados?</t>
  </si>
  <si>
    <t>Não conformes</t>
  </si>
  <si>
    <t>91% - 99%</t>
  </si>
  <si>
    <t>Alta aderência</t>
  </si>
  <si>
    <t>Poucos ajustes necessários</t>
  </si>
  <si>
    <t>O planejamento do teste apresenta as tarefas definidas para os participantes?</t>
  </si>
  <si>
    <t>N/A</t>
  </si>
  <si>
    <t>Não aplicáveis</t>
  </si>
  <si>
    <t>100%</t>
  </si>
  <si>
    <t>Conformidade total</t>
  </si>
  <si>
    <t>Documento totalmente aderente</t>
  </si>
  <si>
    <t>As tarefas identificam a heurística de Nielsen, a interface, o cenário de ação e o testador?</t>
  </si>
  <si>
    <t>Pontos aplicáveis</t>
  </si>
  <si>
    <t>A técnica de caixa preta é explicada e relacionada adequadamente ao teste de usabilidade?</t>
  </si>
  <si>
    <t>Taxa de aderência</t>
  </si>
  <si>
    <t>Resultado da Avaliação</t>
  </si>
  <si>
    <t>As ferramentas e os recursos utilizados durante os testes estão identificados?</t>
  </si>
  <si>
    <t>Taxa de aderência calculada</t>
  </si>
  <si>
    <t>A execução do teste descreve de forma clara como os testes foram realizados?</t>
  </si>
  <si>
    <t>Classificação automática</t>
  </si>
  <si>
    <t>Os resultados das tarefas executadas pelos participantes estão registrados no documento?</t>
  </si>
  <si>
    <t>As evidências dos testes, como imagens ou links acessíveis, estão indicadas adequadamente?</t>
  </si>
  <si>
    <t>Não Conforme</t>
  </si>
  <si>
    <t xml:space="preserve">Giovana Fernandes, Lucas Gabriel Alfaro, Gustavo Souza e Afonso Braga </t>
  </si>
  <si>
    <t>Alta</t>
  </si>
  <si>
    <t xml:space="preserve">Disponibilizar um link acessível, e apresentar imagens que evidenciam o resultado dos testes de forma clara. </t>
  </si>
  <si>
    <t>Escalonada</t>
  </si>
  <si>
    <t>A análise contempla as 10 Heurísticas de Nielsen previstas no template?</t>
  </si>
  <si>
    <t>A avaliação de cada heurística é baseada nos resultados observados durante os testes?</t>
  </si>
  <si>
    <t>Os problemas críticos de usabilidade estão claramente identificados?</t>
  </si>
  <si>
    <t>Os problemas encontrados possuem classificação de impacto em alta, média ou baixa?</t>
  </si>
  <si>
    <t>A conclusão geral resume adequadamente a qualidade do sistema em termos de usabilidade?</t>
  </si>
  <si>
    <t>As recomendações de melhoria estão relacionadas aos problemas identificados na avaliação?</t>
  </si>
  <si>
    <t>O checklist do processo contempla planejamento, preparação, execução, análise e revisão?</t>
  </si>
  <si>
    <t>O documento identifica quem aplicou e quem revisou o checklist do processo?</t>
  </si>
  <si>
    <t>As referências utilizadas no planejamento e na análise do teste estão apresentadas corretamente?</t>
  </si>
  <si>
    <t>O documento apresenta coerência entre planejamento, execução, análise, conclusão e recomendações, sem campos do template deixados em aberto?</t>
  </si>
  <si>
    <t>Cálculo das Taxas de Aderência</t>
  </si>
  <si>
    <t>Não conformes (NCF)</t>
  </si>
  <si>
    <t>Aderência ao documento</t>
  </si>
  <si>
    <t>Taxa de não conformidade</t>
  </si>
  <si>
    <t>Aderência calculada</t>
  </si>
  <si>
    <t>Advertência | Não se aplica</t>
  </si>
  <si>
    <t>Resumo das NCFs</t>
  </si>
  <si>
    <t>Taxa sobre NCFs</t>
  </si>
  <si>
    <t>Baixa-Simples | 4 dias</t>
  </si>
  <si>
    <t>Advertências</t>
  </si>
  <si>
    <t>Baixa-Complexa | 5 dias</t>
  </si>
  <si>
    <t>Baixas</t>
  </si>
  <si>
    <t>Baixa-Severa | 6 dias</t>
  </si>
  <si>
    <t>Médias</t>
  </si>
  <si>
    <t>Baixa-Extrema | 7 dias</t>
  </si>
  <si>
    <t>Altas</t>
  </si>
  <si>
    <t>Média-Simples | 3 dias</t>
  </si>
  <si>
    <t>Urgentes</t>
  </si>
  <si>
    <t>Média-Complexa | 4 dias</t>
  </si>
  <si>
    <t>Total de NCFs classificadas</t>
  </si>
  <si>
    <t>Média-Severa | 5 dias</t>
  </si>
  <si>
    <t>Média-Extrema | 6 dias</t>
  </si>
  <si>
    <t>Alta-Simples | 2 dias</t>
  </si>
  <si>
    <t>Descrição da Avaliação</t>
  </si>
  <si>
    <t>Alta-Complexa | 3 dias</t>
  </si>
  <si>
    <t>Projeto avaliado</t>
  </si>
  <si>
    <t>RA1 - Relatório de Teste de Usabilidade de Sistema Web</t>
  </si>
  <si>
    <t>Alta-Severa | 4 dias</t>
  </si>
  <si>
    <t>Verificação da conformidade do documento em relação ao template estabelecido.</t>
  </si>
  <si>
    <t>Alta-Extrema | 5 dias</t>
  </si>
  <si>
    <t>Auditor de QA</t>
  </si>
  <si>
    <t>Urgente-Simples | 1 dia</t>
  </si>
  <si>
    <t>Data</t>
  </si>
  <si>
    <t>Urgente-Complexa | 2 dias</t>
  </si>
  <si>
    <t>Tempo total</t>
  </si>
  <si>
    <t>Urgente-Severa | 3 dias</t>
  </si>
  <si>
    <t>Urgente-Extrema | 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</si>
</sst>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dd/mm/yyyy"/>
  </numFmts>
  <fonts count="5">
    <font>
      <sz val="11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ACD"/>
      </patternFill>
    </fill>
    <fill>
      <patternFill patternType="solid">
        <fgColor rgb="FFB6D7A8"/>
      </patternFill>
    </fill>
    <fill>
      <patternFill patternType="solid">
        <fgColor rgb="FFFCE4D6"/>
      </patternFill>
    </fill>
    <fill>
      <patternFill patternType="solid">
        <fgColor rgb="FFF4B6C2"/>
      </patternFill>
    </fill>
    <fill>
      <patternFill patternType="solid">
        <fgColor rgb="FFD9C2E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93C47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12" borderId="1" xfId="0" applyFill="1" applyBorder="1" applyAlignment="1">
      <alignment wrapText="1"/>
    </xf>
    <xf numFmtId="10" fontId="0" fillId="0" borderId="1" xfId="0" applyNumberFormat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0" fillId="10" borderId="0" xfId="0" applyFill="1" applyAlignment="1">
      <alignment wrapText="1"/>
    </xf>
    <xf numFmtId="10" fontId="0" fillId="10" borderId="1" xfId="0" applyNumberForma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10" fontId="0" fillId="11" borderId="1" xfId="0" applyNumberFormat="1" applyFill="1" applyBorder="1" applyAlignment="1">
      <alignment wrapText="1"/>
    </xf>
    <xf numFmtId="0" fontId="2" fillId="7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0" xfId="0" applyFill="1" applyAlignment="1">
      <alignment wrapText="1"/>
    </xf>
    <xf numFmtId="10" fontId="0" fillId="9" borderId="1" xfId="0" applyNumberFormat="1" applyFill="1" applyBorder="1" applyAlignment="1">
      <alignment wrapText="1"/>
    </xf>
    <xf numFmtId="0" fontId="0" fillId="8" borderId="0" xfId="0" applyFill="1" applyAlignment="1">
      <alignment wrapText="1"/>
    </xf>
    <xf numFmtId="10" fontId="0" fillId="8" borderId="1" xfId="0" applyNumberForma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0" fillId="4" borderId="1" xfId="0" applyNumberFormat="1" applyFill="1" applyBorder="1" applyAlignment="1">
      <alignment wrapText="1"/>
    </xf>
    <xf numFmtId="0" fontId="0" fillId="5" borderId="1" xfId="0" applyFill="1" applyBorder="1" applyAlignment="1">
      <alignment wrapText="1"/>
    </xf>
    <xf numFmtId="10" fontId="0" fillId="5" borderId="1" xfId="0" applyNumberFormat="1" applyFill="1" applyBorder="1" applyAlignment="1">
      <alignment wrapText="1"/>
    </xf>
    <xf numFmtId="0" fontId="0" fillId="6" borderId="1" xfId="0" applyFill="1" applyBorder="1" applyAlignment="1">
      <alignment wrapText="1"/>
    </xf>
    <xf numFmtId="10" fontId="0" fillId="6" borderId="1" xfId="0" applyNumberFormat="1" applyFill="1" applyBorder="1" applyAlignment="1">
      <alignment wrapText="1"/>
    </xf>
    <xf numFmtId="0" fontId="1" fillId="14" borderId="1" xfId="0" applyFont="1" applyFill="1" applyBorder="1" applyAlignment="1">
      <alignment wrapText="1"/>
    </xf>
    <xf numFmtId="10" fontId="1" fillId="14" borderId="1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0" fontId="0" fillId="0" borderId="1" xfId="0" applyBorder="1"/>
    <xf numFmtId="0" fontId="1" fillId="8" borderId="2" xfId="0" applyFont="1" applyFill="1" applyBorder="1" applyAlignment="1">
      <alignment vertical="center" wrapText="1"/>
    </xf>
    <xf numFmtId="0" fontId="0" fillId="12" borderId="2" xfId="0" applyFill="1" applyBorder="1" applyAlignment="1">
      <alignment vertical="center" wrapText="1"/>
    </xf>
    <xf numFmtId="0" fontId="0" fillId="13" borderId="2" xfId="0" applyFill="1" applyBorder="1" applyAlignment="1">
      <alignment vertical="center" wrapText="1"/>
    </xf>
    <xf numFmtId="0" fontId="0" fillId="14" borderId="2" xfId="0" applyFill="1" applyBorder="1" applyAlignment="1">
      <alignment vertical="center" wrapText="1"/>
    </xf>
    <xf numFmtId="0" fontId="0" fillId="15" borderId="2" xfId="0" applyFill="1" applyBorder="1" applyAlignment="1">
      <alignment vertical="center" wrapText="1"/>
    </xf>
    <xf numFmtId="0" fontId="0" fillId="0" borderId="2" xfId="0" applyBorder="1"/>
    <xf numFmtId="0" fontId="1" fillId="9" borderId="2" xfId="0" applyFont="1" applyFill="1" applyBorder="1" applyAlignment="1">
      <alignment vertical="center" wrapText="1"/>
    </xf>
    <xf numFmtId="10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  <xf numFmtId="10" fontId="0" fillId="10" borderId="2" xfId="0" applyNumberForma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16" borderId="2" xfId="0" applyFont="1" applyFill="1" applyBorder="1" applyAlignment="1">
      <alignment vertical="center" wrapText="1"/>
    </xf>
    <xf numFmtId="0" fontId="0" fillId="16" borderId="2" xfId="0" applyFill="1" applyBorder="1" applyAlignment="1">
      <alignment vertical="center" wrapText="1"/>
    </xf>
    <xf numFmtId="0" fontId="0" fillId="16" borderId="1" xfId="0" applyFill="1" applyBorder="1"/>
    <xf numFmtId="10" fontId="0" fillId="16" borderId="2" xfId="0" applyNumberForma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wrapText="1"/>
    </xf>
    <xf numFmtId="10" fontId="0" fillId="0" borderId="0" xfId="0" applyNumberFormat="1" applyAlignment="1">
      <alignment wrapText="1"/>
    </xf>
  </cellXfs>
  <cellStyles count="1">
    <cellStyle name="Normal" xfId="0" builtinId="0"/>
  </cellStyles>
  <dxfs count="3">
    <dxf>
      <font>
        <color rgb="FF666666"/>
      </font>
      <fill>
        <patternFill>
          <bgColor rgb="FFE7E6E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topLeftCell="B1" workbookViewId="0">
      <selection activeCell="C12" sqref="C12"/>
    </sheetView>
  </sheetViews>
  <sheetFormatPr defaultRowHeight="14.25"/>
  <cols>
    <col min="1" max="1" width="6" customWidth="1"/>
    <col min="2" max="2" width="60" customWidth="1"/>
    <col min="3" max="3" width="16" customWidth="1"/>
    <col min="4" max="4" width="22" customWidth="1"/>
    <col min="5" max="5" width="25" customWidth="1"/>
    <col min="6" max="6" width="23" customWidth="1"/>
    <col min="7" max="7" width="34" customWidth="1"/>
    <col min="8" max="8" width="20" customWidth="1"/>
    <col min="9" max="10" width="22" customWidth="1"/>
    <col min="11" max="11" width="18" customWidth="1"/>
    <col min="12" max="12" width="3" customWidth="1"/>
    <col min="13" max="13" width="27" customWidth="1"/>
    <col min="14" max="15" width="14" customWidth="1"/>
    <col min="16" max="16" width="3" customWidth="1"/>
    <col min="17" max="18" width="22" customWidth="1"/>
    <col min="19" max="19" width="32" customWidth="1"/>
  </cols>
  <sheetData>
    <row r="1" spans="1:20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M1" s="41"/>
      <c r="N1" s="41"/>
      <c r="O1" s="41"/>
      <c r="Q1" s="41"/>
      <c r="R1" s="41"/>
      <c r="S1" s="41"/>
    </row>
    <row r="2" spans="1:20" ht="45" customHeight="1">
      <c r="A2" s="36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36" t="s">
        <v>7</v>
      </c>
      <c r="I2" s="36" t="s">
        <v>8</v>
      </c>
      <c r="J2" s="36" t="s">
        <v>9</v>
      </c>
      <c r="K2" s="36" t="s">
        <v>10</v>
      </c>
      <c r="L2" s="41"/>
      <c r="M2" s="51" t="s">
        <v>11</v>
      </c>
      <c r="N2" s="51" t="s">
        <v>12</v>
      </c>
      <c r="O2" s="51" t="s">
        <v>13</v>
      </c>
      <c r="P2" s="41"/>
      <c r="Q2" s="42" t="s">
        <v>14</v>
      </c>
      <c r="R2" s="42" t="s">
        <v>15</v>
      </c>
      <c r="S2" s="42" t="s">
        <v>16</v>
      </c>
      <c r="T2" s="41"/>
    </row>
    <row r="3" spans="1:20" ht="33.75">
      <c r="A3" s="37">
        <v>1</v>
      </c>
      <c r="B3" s="38" t="s">
        <v>17</v>
      </c>
      <c r="C3" s="38" t="s">
        <v>18</v>
      </c>
      <c r="D3" s="39"/>
      <c r="E3" s="38"/>
      <c r="F3" s="38"/>
      <c r="G3" s="38"/>
      <c r="H3" s="40"/>
      <c r="I3" s="39"/>
      <c r="J3" s="39"/>
      <c r="K3" s="38"/>
      <c r="L3" s="41"/>
      <c r="M3" s="48" t="s">
        <v>19</v>
      </c>
      <c r="N3" s="50">
        <v>20</v>
      </c>
      <c r="O3" s="50"/>
      <c r="P3" s="41"/>
      <c r="Q3" s="43" t="s">
        <v>20</v>
      </c>
      <c r="R3" s="43" t="s">
        <v>21</v>
      </c>
      <c r="S3" s="43" t="s">
        <v>22</v>
      </c>
      <c r="T3" s="41"/>
    </row>
    <row r="4" spans="1:20" ht="33.75">
      <c r="A4" s="37">
        <v>2</v>
      </c>
      <c r="B4" s="38" t="s">
        <v>23</v>
      </c>
      <c r="C4" s="38" t="s">
        <v>18</v>
      </c>
      <c r="D4" s="39"/>
      <c r="E4" s="38"/>
      <c r="F4" s="38"/>
      <c r="G4" s="38"/>
      <c r="H4" s="40"/>
      <c r="I4" s="39"/>
      <c r="J4" s="39"/>
      <c r="K4" s="38"/>
      <c r="L4" s="41"/>
      <c r="M4" s="48" t="s">
        <v>24</v>
      </c>
      <c r="N4" s="50">
        <f>COUNTIF($C$3:$C$22,"Conforme")</f>
        <v>18</v>
      </c>
      <c r="O4" s="49">
        <f>IF(N7=0,0,N4/N7)</f>
        <v>0.94736842105263153</v>
      </c>
      <c r="P4" s="41"/>
      <c r="Q4" s="44" t="s">
        <v>25</v>
      </c>
      <c r="R4" s="44" t="s">
        <v>26</v>
      </c>
      <c r="S4" s="44" t="s">
        <v>27</v>
      </c>
      <c r="T4" s="41"/>
    </row>
    <row r="5" spans="1:20" ht="33.75">
      <c r="A5" s="37">
        <v>3</v>
      </c>
      <c r="B5" s="38" t="s">
        <v>28</v>
      </c>
      <c r="C5" s="38" t="s">
        <v>18</v>
      </c>
      <c r="D5" s="39"/>
      <c r="E5" s="38"/>
      <c r="F5" s="38"/>
      <c r="G5" s="38"/>
      <c r="H5" s="40"/>
      <c r="I5" s="39"/>
      <c r="J5" s="39"/>
      <c r="K5" s="38"/>
      <c r="L5" s="41"/>
      <c r="M5" s="48" t="s">
        <v>29</v>
      </c>
      <c r="N5" s="50">
        <f>COUNTIF($C$3:$C$22,"Não Conforme")</f>
        <v>1</v>
      </c>
      <c r="O5" s="49">
        <f>IF(N7=0,0,N5/N7)</f>
        <v>5.2631578947368418E-2</v>
      </c>
      <c r="P5" s="41"/>
      <c r="Q5" s="45" t="s">
        <v>30</v>
      </c>
      <c r="R5" s="45" t="s">
        <v>31</v>
      </c>
      <c r="S5" s="45" t="s">
        <v>32</v>
      </c>
      <c r="T5" s="41"/>
    </row>
    <row r="6" spans="1:20" ht="33.75">
      <c r="A6" s="37">
        <v>4</v>
      </c>
      <c r="B6" s="38" t="s">
        <v>33</v>
      </c>
      <c r="C6" s="38" t="s">
        <v>34</v>
      </c>
      <c r="D6" s="39"/>
      <c r="E6" s="55"/>
      <c r="F6" s="56"/>
      <c r="G6" s="38"/>
      <c r="H6" s="40"/>
      <c r="I6" s="39"/>
      <c r="J6" s="39"/>
      <c r="K6" s="38"/>
      <c r="L6" s="41"/>
      <c r="M6" s="48" t="s">
        <v>35</v>
      </c>
      <c r="N6" s="50">
        <f>COUNTIF($C$3:$C$22,"N/A")</f>
        <v>1</v>
      </c>
      <c r="O6" s="49">
        <f>IF(N3=0,0,N6/N3)</f>
        <v>0.05</v>
      </c>
      <c r="P6" s="41"/>
      <c r="Q6" s="46" t="s">
        <v>36</v>
      </c>
      <c r="R6" s="46" t="s">
        <v>37</v>
      </c>
      <c r="S6" s="46" t="s">
        <v>38</v>
      </c>
      <c r="T6" s="41"/>
    </row>
    <row r="7" spans="1:20" ht="33.75">
      <c r="A7" s="37">
        <v>5</v>
      </c>
      <c r="B7" s="38" t="s">
        <v>39</v>
      </c>
      <c r="C7" s="38" t="s">
        <v>18</v>
      </c>
      <c r="D7" s="39"/>
      <c r="E7" s="38"/>
      <c r="F7" s="38"/>
      <c r="G7" s="38"/>
      <c r="H7" s="40"/>
      <c r="I7" s="39"/>
      <c r="J7" s="39"/>
      <c r="K7" s="38"/>
      <c r="L7" s="41"/>
      <c r="M7" s="48" t="s">
        <v>40</v>
      </c>
      <c r="N7" s="50">
        <f>N3-N6</f>
        <v>19</v>
      </c>
      <c r="O7" s="49">
        <f>IF(N3=0,0,N7/N3)</f>
        <v>0.95</v>
      </c>
      <c r="P7" s="41"/>
      <c r="Q7" s="47"/>
      <c r="R7" s="47"/>
      <c r="S7" s="47"/>
      <c r="T7" s="41"/>
    </row>
    <row r="8" spans="1:20" ht="33.75">
      <c r="A8" s="37">
        <v>6</v>
      </c>
      <c r="B8" s="38" t="s">
        <v>41</v>
      </c>
      <c r="C8" s="38" t="s">
        <v>18</v>
      </c>
      <c r="D8" s="39"/>
      <c r="E8" s="38"/>
      <c r="F8" s="38"/>
      <c r="G8" s="38"/>
      <c r="H8" s="40"/>
      <c r="I8" s="39"/>
      <c r="J8" s="39"/>
      <c r="K8" s="38"/>
      <c r="L8" s="41"/>
      <c r="M8" s="52" t="s">
        <v>42</v>
      </c>
      <c r="N8" s="53">
        <f>N4</f>
        <v>18</v>
      </c>
      <c r="O8" s="54">
        <f>IF(N7=0,0,N4/N7)</f>
        <v>0.94736842105263153</v>
      </c>
      <c r="P8" s="41"/>
      <c r="Q8" s="61" t="s">
        <v>43</v>
      </c>
      <c r="R8" s="61"/>
      <c r="S8" s="61"/>
      <c r="T8" s="41"/>
    </row>
    <row r="9" spans="1:20" ht="30" customHeight="1">
      <c r="A9" s="37">
        <v>7</v>
      </c>
      <c r="B9" s="38" t="s">
        <v>44</v>
      </c>
      <c r="C9" s="38" t="s">
        <v>18</v>
      </c>
      <c r="D9" s="39"/>
      <c r="E9" s="38"/>
      <c r="F9" s="38"/>
      <c r="G9" s="38"/>
      <c r="H9" s="40"/>
      <c r="I9" s="39"/>
      <c r="J9" s="39"/>
      <c r="K9" s="38"/>
      <c r="L9" s="41"/>
      <c r="M9" s="57"/>
      <c r="N9" s="58"/>
      <c r="O9" s="60"/>
      <c r="P9" s="41"/>
      <c r="Q9" s="48" t="s">
        <v>45</v>
      </c>
      <c r="R9" s="62">
        <f>O8</f>
        <v>0.94736842105263153</v>
      </c>
      <c r="S9" s="62"/>
      <c r="T9" s="41"/>
    </row>
    <row r="10" spans="1:20" ht="33.75">
      <c r="A10" s="37">
        <v>8</v>
      </c>
      <c r="B10" s="38" t="s">
        <v>46</v>
      </c>
      <c r="C10" s="38" t="s">
        <v>18</v>
      </c>
      <c r="D10" s="39"/>
      <c r="E10" s="38"/>
      <c r="F10" s="38"/>
      <c r="G10" s="38"/>
      <c r="H10" s="40"/>
      <c r="I10" s="39"/>
      <c r="J10" s="39"/>
      <c r="K10" s="38"/>
      <c r="L10" s="41"/>
      <c r="M10" s="41"/>
      <c r="N10" s="41"/>
      <c r="O10" s="59"/>
      <c r="P10" s="41"/>
      <c r="Q10" s="48" t="s">
        <v>47</v>
      </c>
      <c r="R10" s="63" t="str">
        <f>IF(R9=1,"Conformidade total",IF(R9&gt;=0.91,"Alta aderência",IF(R9&gt;=0.61,"Aderência parcial","Baixa aderência")))</f>
        <v>Alta aderência</v>
      </c>
      <c r="S10" s="63"/>
      <c r="T10" s="41"/>
    </row>
    <row r="11" spans="1:20" ht="33.75">
      <c r="A11" s="37">
        <v>9</v>
      </c>
      <c r="B11" s="38" t="s">
        <v>48</v>
      </c>
      <c r="C11" s="38" t="s">
        <v>18</v>
      </c>
      <c r="D11" s="39"/>
      <c r="E11" s="38"/>
      <c r="F11" s="38"/>
      <c r="G11" s="38"/>
      <c r="H11" s="40"/>
      <c r="I11" s="39"/>
      <c r="J11" s="39"/>
      <c r="K11" s="38"/>
      <c r="L11" s="41"/>
      <c r="Q11" s="41"/>
      <c r="R11" s="41"/>
      <c r="S11" s="41"/>
    </row>
    <row r="12" spans="1:20" ht="50.25">
      <c r="A12" s="37">
        <v>10</v>
      </c>
      <c r="B12" s="38" t="s">
        <v>49</v>
      </c>
      <c r="C12" s="38" t="s">
        <v>50</v>
      </c>
      <c r="D12" s="39">
        <v>46121.395833333336</v>
      </c>
      <c r="E12" s="38" t="s">
        <v>51</v>
      </c>
      <c r="F12" s="38" t="s">
        <v>52</v>
      </c>
      <c r="G12" s="38" t="s">
        <v>53</v>
      </c>
      <c r="H12" s="40">
        <v>46269</v>
      </c>
      <c r="I12" s="39">
        <v>46121.44027777778</v>
      </c>
      <c r="J12" s="39"/>
      <c r="K12" s="38" t="s">
        <v>54</v>
      </c>
      <c r="L12" s="41"/>
    </row>
    <row r="13" spans="1:20" ht="16.5">
      <c r="A13" s="37">
        <v>11</v>
      </c>
      <c r="B13" s="38" t="s">
        <v>55</v>
      </c>
      <c r="C13" s="38" t="s">
        <v>18</v>
      </c>
      <c r="D13" s="39"/>
      <c r="E13" s="38"/>
      <c r="F13" s="38"/>
      <c r="G13" s="38"/>
      <c r="H13" s="40"/>
      <c r="I13" s="39"/>
      <c r="J13" s="39"/>
      <c r="K13" s="38"/>
      <c r="L13" s="41"/>
    </row>
    <row r="14" spans="1:20" ht="33.75">
      <c r="A14" s="37">
        <v>12</v>
      </c>
      <c r="B14" s="38" t="s">
        <v>56</v>
      </c>
      <c r="C14" s="38" t="s">
        <v>18</v>
      </c>
      <c r="D14" s="39"/>
      <c r="E14" s="38"/>
      <c r="F14" s="38"/>
      <c r="G14" s="38"/>
      <c r="H14" s="40"/>
      <c r="I14" s="39"/>
      <c r="J14" s="39"/>
      <c r="K14" s="38"/>
      <c r="L14" s="41"/>
    </row>
    <row r="15" spans="1:20" ht="16.5">
      <c r="A15" s="37">
        <v>13</v>
      </c>
      <c r="B15" s="38" t="s">
        <v>57</v>
      </c>
      <c r="C15" s="38" t="s">
        <v>18</v>
      </c>
      <c r="D15" s="39"/>
      <c r="E15" s="38"/>
      <c r="F15" s="38"/>
      <c r="G15" s="38"/>
      <c r="H15" s="40"/>
      <c r="I15" s="39"/>
      <c r="J15" s="39"/>
      <c r="K15" s="38"/>
      <c r="L15" s="41"/>
    </row>
    <row r="16" spans="1:20" ht="33.75">
      <c r="A16" s="37">
        <v>14</v>
      </c>
      <c r="B16" s="38" t="s">
        <v>58</v>
      </c>
      <c r="C16" s="38" t="s">
        <v>18</v>
      </c>
      <c r="D16" s="39"/>
      <c r="E16" s="38"/>
      <c r="F16" s="38"/>
      <c r="G16" s="38"/>
      <c r="H16" s="40"/>
      <c r="I16" s="39"/>
      <c r="J16" s="39"/>
      <c r="K16" s="38"/>
      <c r="L16" s="41"/>
    </row>
    <row r="17" spans="1:12" ht="33.75">
      <c r="A17" s="37">
        <v>15</v>
      </c>
      <c r="B17" s="38" t="s">
        <v>59</v>
      </c>
      <c r="C17" s="38" t="s">
        <v>18</v>
      </c>
      <c r="D17" s="39"/>
      <c r="E17" s="38"/>
      <c r="F17" s="38"/>
      <c r="G17" s="38"/>
      <c r="H17" s="40"/>
      <c r="I17" s="39"/>
      <c r="J17" s="39"/>
      <c r="K17" s="38"/>
      <c r="L17" s="41"/>
    </row>
    <row r="18" spans="1:12" ht="33.75">
      <c r="A18" s="37">
        <v>16</v>
      </c>
      <c r="B18" s="38" t="s">
        <v>60</v>
      </c>
      <c r="C18" s="38" t="s">
        <v>18</v>
      </c>
      <c r="D18" s="39"/>
      <c r="E18" s="38"/>
      <c r="F18" s="38"/>
      <c r="G18" s="38"/>
      <c r="H18" s="40"/>
      <c r="I18" s="39"/>
      <c r="J18" s="39"/>
      <c r="K18" s="38"/>
      <c r="L18" s="41"/>
    </row>
    <row r="19" spans="1:12" ht="33.75">
      <c r="A19" s="37">
        <v>17</v>
      </c>
      <c r="B19" s="38" t="s">
        <v>61</v>
      </c>
      <c r="C19" s="38" t="s">
        <v>18</v>
      </c>
      <c r="D19" s="39"/>
      <c r="E19" s="38"/>
      <c r="F19" s="38"/>
      <c r="G19" s="38"/>
      <c r="H19" s="40"/>
      <c r="I19" s="39"/>
      <c r="J19" s="39"/>
      <c r="K19" s="38"/>
      <c r="L19" s="41"/>
    </row>
    <row r="20" spans="1:12" ht="33.75">
      <c r="A20" s="37">
        <v>18</v>
      </c>
      <c r="B20" s="38" t="s">
        <v>62</v>
      </c>
      <c r="C20" s="38" t="s">
        <v>18</v>
      </c>
      <c r="D20" s="39"/>
      <c r="E20" s="38"/>
      <c r="F20" s="38"/>
      <c r="G20" s="38"/>
      <c r="H20" s="40"/>
      <c r="I20" s="39"/>
      <c r="J20" s="39"/>
      <c r="K20" s="38"/>
      <c r="L20" s="41"/>
    </row>
    <row r="21" spans="1:12" ht="33.75">
      <c r="A21" s="37">
        <v>19</v>
      </c>
      <c r="B21" s="38" t="s">
        <v>63</v>
      </c>
      <c r="C21" s="38" t="s">
        <v>18</v>
      </c>
      <c r="D21" s="39"/>
      <c r="E21" s="38"/>
      <c r="F21" s="38"/>
      <c r="G21" s="38"/>
      <c r="H21" s="40"/>
      <c r="I21" s="39"/>
      <c r="J21" s="39"/>
      <c r="K21" s="38"/>
      <c r="L21" s="41"/>
    </row>
    <row r="22" spans="1:12" ht="50.25">
      <c r="A22" s="37">
        <v>20</v>
      </c>
      <c r="B22" s="38" t="s">
        <v>64</v>
      </c>
      <c r="C22" s="38" t="s">
        <v>18</v>
      </c>
      <c r="D22" s="39"/>
      <c r="E22" s="38"/>
      <c r="F22" s="38"/>
      <c r="G22" s="38"/>
      <c r="H22" s="40"/>
      <c r="I22" s="39"/>
      <c r="J22" s="39"/>
      <c r="K22" s="38"/>
      <c r="L22" s="41"/>
    </row>
    <row r="23" spans="1:12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</row>
  </sheetData>
  <mergeCells count="3">
    <mergeCell ref="Q8:S8"/>
    <mergeCell ref="R9:S9"/>
    <mergeCell ref="R10:S10"/>
  </mergeCells>
  <conditionalFormatting sqref="C3:C22">
    <cfRule type="expression" dxfId="2" priority="1">
      <formula>C3="Conforme"</formula>
    </cfRule>
    <cfRule type="expression" dxfId="1" priority="2">
      <formula>C3="Não Conforme"</formula>
    </cfRule>
    <cfRule type="expression" dxfId="0" priority="3">
      <formula>C3="N/A"</formula>
    </cfRule>
  </conditionalFormatting>
  <dataValidations count="3">
    <dataValidation type="list" sqref="C3:C22" xr:uid="{00000000-0002-0000-0000-000000000000}">
      <formula1>"Conforme,Não Conforme,N/A"</formula1>
    </dataValidation>
    <dataValidation type="list" sqref="F3:F22" xr:uid="{00000000-0002-0000-0000-000001000000}">
      <formula1>_xlfn._LONGTEXT("Advertência | Não se aplica,Baixa-Simples | 4 dias,Baixa-Complexa | 5 dias,Baixa-Severa | 6 dias,Baixa-Extrema | 7 dias,Média-Simples | 3 dias,Média-Complexa | 4 dias,Média-Severa | 5 dias,Média-Extrema | 6 dias,Alta-Simples | 2 dias,Alta-Complexa | 3 dia","s,Alta-Severa | 4 dias,Alta-Extrema | 5 dias,Urgente-Simples | 1 dia,Urgente-Complexa | 2 dias,Urgente-Severa | 3 dias,Urgente-Extrema | 4 dias")</formula1>
    </dataValidation>
    <dataValidation type="list" sqref="K3:K22" xr:uid="{00000000-0002-0000-0000-000002000000}">
      <formula1>"Aberta,Em correção,Escalonada,Concluída,N/A"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/>
  </sheetViews>
  <sheetFormatPr defaultRowHeight="14.25"/>
  <cols>
    <col min="1" max="1" width="33" customWidth="1"/>
    <col min="2" max="2" width="14" customWidth="1"/>
    <col min="3" max="3" width="15" customWidth="1"/>
    <col min="4" max="4" width="18" customWidth="1"/>
    <col min="5" max="5" width="28" customWidth="1"/>
    <col min="6" max="6" width="22" customWidth="1"/>
    <col min="7" max="7" width="34" customWidth="1"/>
  </cols>
  <sheetData>
    <row r="1" spans="1:8" ht="30" customHeight="1">
      <c r="A1" s="66" t="s">
        <v>65</v>
      </c>
      <c r="B1" s="66"/>
      <c r="C1" s="66"/>
      <c r="D1" s="66"/>
      <c r="E1" s="66"/>
      <c r="F1" s="66"/>
      <c r="G1" s="19"/>
      <c r="H1" s="19"/>
    </row>
    <row r="3" spans="1:8" ht="15">
      <c r="A3" s="4" t="s">
        <v>11</v>
      </c>
      <c r="B3" s="4" t="s">
        <v>12</v>
      </c>
      <c r="C3" s="4" t="s">
        <v>13</v>
      </c>
      <c r="D3" s="20"/>
      <c r="E3" s="5" t="s">
        <v>14</v>
      </c>
      <c r="F3" s="5" t="s">
        <v>15</v>
      </c>
      <c r="G3" s="5" t="s">
        <v>16</v>
      </c>
    </row>
    <row r="4" spans="1:8" ht="15">
      <c r="A4" s="6" t="s">
        <v>19</v>
      </c>
      <c r="B4" s="7">
        <v>20</v>
      </c>
      <c r="C4" s="7"/>
      <c r="D4" s="8"/>
      <c r="E4" s="8" t="s">
        <v>20</v>
      </c>
      <c r="F4" s="8" t="s">
        <v>21</v>
      </c>
      <c r="G4" s="8" t="s">
        <v>22</v>
      </c>
    </row>
    <row r="5" spans="1:8" ht="15">
      <c r="A5" s="6" t="s">
        <v>24</v>
      </c>
      <c r="B5" s="7">
        <f>COUNTIF(Checklist!$C$3:$C$22,"Conforme")</f>
        <v>18</v>
      </c>
      <c r="C5" s="9">
        <f>IF(B8=0,0,B5/B8)</f>
        <v>0.94736842105263153</v>
      </c>
      <c r="D5" s="10"/>
      <c r="E5" s="10" t="s">
        <v>25</v>
      </c>
      <c r="F5" s="10" t="s">
        <v>26</v>
      </c>
      <c r="G5" s="10" t="s">
        <v>27</v>
      </c>
    </row>
    <row r="6" spans="1:8" ht="15">
      <c r="A6" s="6" t="s">
        <v>66</v>
      </c>
      <c r="B6" s="7">
        <f>COUNTIF(Checklist!$C$3:$C$22,"Não Conforme")</f>
        <v>1</v>
      </c>
      <c r="C6" s="9">
        <f>IF(B8=0,0,B6/B8)</f>
        <v>5.2631578947368418E-2</v>
      </c>
      <c r="D6" s="11"/>
      <c r="E6" s="11" t="s">
        <v>30</v>
      </c>
      <c r="F6" s="11" t="s">
        <v>31</v>
      </c>
      <c r="G6" s="11" t="s">
        <v>32</v>
      </c>
    </row>
    <row r="7" spans="1:8" ht="15">
      <c r="A7" s="6" t="s">
        <v>35</v>
      </c>
      <c r="B7" s="7">
        <f>COUNTIF(Checklist!$C$3:$C$22,"N/A")</f>
        <v>1</v>
      </c>
      <c r="C7" s="9">
        <f>IF(B4=0,0,B7/B4)</f>
        <v>0.05</v>
      </c>
      <c r="D7" s="21"/>
      <c r="E7" s="12" t="s">
        <v>36</v>
      </c>
      <c r="F7" s="12" t="s">
        <v>37</v>
      </c>
      <c r="G7" s="12" t="s">
        <v>38</v>
      </c>
    </row>
    <row r="8" spans="1:8" ht="15">
      <c r="A8" s="6" t="s">
        <v>40</v>
      </c>
      <c r="B8" s="9">
        <f>B4-B7</f>
        <v>19</v>
      </c>
      <c r="C8" s="9">
        <f>IF(B4=0,0,B8/B4)</f>
        <v>0.95</v>
      </c>
    </row>
    <row r="9" spans="1:8" ht="15">
      <c r="A9" s="13" t="s">
        <v>67</v>
      </c>
      <c r="B9" s="14">
        <f>B5</f>
        <v>18</v>
      </c>
      <c r="C9" s="15">
        <f>IF(B8=0,0,B5/B8)</f>
        <v>0.94736842105263153</v>
      </c>
      <c r="E9" s="67" t="s">
        <v>43</v>
      </c>
      <c r="F9" s="67"/>
      <c r="G9" s="67"/>
    </row>
    <row r="10" spans="1:8" ht="15">
      <c r="A10" s="16" t="s">
        <v>68</v>
      </c>
      <c r="B10" s="17">
        <f>B6</f>
        <v>1</v>
      </c>
      <c r="C10" s="18">
        <f>IF(B8=0,0,B6/B8)</f>
        <v>5.2631578947368418E-2</v>
      </c>
      <c r="E10" s="6" t="s">
        <v>69</v>
      </c>
      <c r="F10" s="68">
        <f>C9</f>
        <v>0.94736842105263153</v>
      </c>
      <c r="G10" s="65"/>
    </row>
    <row r="11" spans="1:8" ht="15">
      <c r="A11" s="20"/>
      <c r="B11" s="20"/>
      <c r="E11" s="6" t="s">
        <v>47</v>
      </c>
      <c r="F11" s="65" t="str">
        <f>IF(F10=1,"Conformidade total",IF(F10&gt;=0.91,"Alta aderência",IF(F10&gt;=0.61,"Aderência parcial","Baixa aderência")))</f>
        <v>Alta aderência</v>
      </c>
      <c r="G11" s="65"/>
    </row>
    <row r="12" spans="1:8">
      <c r="A12" s="7"/>
      <c r="B12" s="7"/>
    </row>
    <row r="13" spans="1:8" ht="15">
      <c r="A13" s="5" t="s">
        <v>5</v>
      </c>
      <c r="B13" s="5" t="s">
        <v>12</v>
      </c>
    </row>
    <row r="14" spans="1:8" ht="15">
      <c r="A14" s="22" t="s">
        <v>70</v>
      </c>
      <c r="B14" s="22">
        <f>COUNTIF(Checklist!$F$3:$F$22,A14)</f>
        <v>0</v>
      </c>
      <c r="E14" s="5" t="s">
        <v>71</v>
      </c>
      <c r="F14" s="5" t="s">
        <v>12</v>
      </c>
      <c r="G14" s="5" t="s">
        <v>72</v>
      </c>
    </row>
    <row r="15" spans="1:8">
      <c r="A15" s="23" t="s">
        <v>73</v>
      </c>
      <c r="B15" s="23">
        <f>COUNTIF(Checklist!$F$3:$F$22,A15)</f>
        <v>0</v>
      </c>
      <c r="E15" s="22" t="s">
        <v>74</v>
      </c>
      <c r="F15" s="24">
        <f>B14</f>
        <v>0</v>
      </c>
      <c r="G15" s="25">
        <f>IF($F$20=0,0,F15/$F$20)</f>
        <v>0</v>
      </c>
    </row>
    <row r="16" spans="1:8">
      <c r="A16" s="23" t="s">
        <v>75</v>
      </c>
      <c r="B16" s="23">
        <f>COUNTIF(Checklist!$F$3:$F$22,A16)</f>
        <v>0</v>
      </c>
      <c r="E16" s="23" t="s">
        <v>76</v>
      </c>
      <c r="F16" s="26">
        <f>SUM(B15:B18)</f>
        <v>0</v>
      </c>
      <c r="G16" s="27">
        <f>IF($F$20=0,0,F16/$F$20)</f>
        <v>0</v>
      </c>
    </row>
    <row r="17" spans="1:7">
      <c r="A17" s="23" t="s">
        <v>77</v>
      </c>
      <c r="B17" s="23">
        <f>COUNTIF(Checklist!$F$3:$F$22,A17)</f>
        <v>0</v>
      </c>
      <c r="E17" s="28" t="s">
        <v>78</v>
      </c>
      <c r="F17" s="1">
        <f>SUM(B19:B22)</f>
        <v>0</v>
      </c>
      <c r="G17" s="29">
        <f>IF($F$20=0,0,F17/$F$20)</f>
        <v>0</v>
      </c>
    </row>
    <row r="18" spans="1:7">
      <c r="A18" s="23" t="s">
        <v>79</v>
      </c>
      <c r="B18" s="23">
        <f>COUNTIF(Checklist!$F$3:$F$22,A18)</f>
        <v>0</v>
      </c>
      <c r="E18" s="30" t="s">
        <v>80</v>
      </c>
      <c r="F18" s="2">
        <f>SUM(B23:B26)</f>
        <v>0</v>
      </c>
      <c r="G18" s="31">
        <f>IF($F$20=0,0,F18/$F$20)</f>
        <v>0</v>
      </c>
    </row>
    <row r="19" spans="1:7">
      <c r="A19" s="28" t="s">
        <v>81</v>
      </c>
      <c r="B19" s="28">
        <f>COUNTIF(Checklist!$F$3:$F$22,A19)</f>
        <v>0</v>
      </c>
      <c r="E19" s="32" t="s">
        <v>82</v>
      </c>
      <c r="F19" s="3">
        <f>SUM(B27:B30)</f>
        <v>0</v>
      </c>
      <c r="G19" s="33">
        <f>IF($F$20=0,0,F19/$F$20)</f>
        <v>0</v>
      </c>
    </row>
    <row r="20" spans="1:7" ht="15">
      <c r="A20" s="28" t="s">
        <v>83</v>
      </c>
      <c r="B20" s="28">
        <f>COUNTIF(Checklist!$F$3:$F$22,A20)</f>
        <v>0</v>
      </c>
      <c r="E20" s="34" t="s">
        <v>84</v>
      </c>
      <c r="F20" s="34">
        <f>SUM(F15:F19)</f>
        <v>0</v>
      </c>
      <c r="G20" s="35">
        <f>IF(B6=0,0,F20/B6)</f>
        <v>0</v>
      </c>
    </row>
    <row r="21" spans="1:7">
      <c r="A21" s="28" t="s">
        <v>85</v>
      </c>
      <c r="B21" s="28">
        <f>COUNTIF(Checklist!$F$3:$F$22,A21)</f>
        <v>0</v>
      </c>
    </row>
    <row r="22" spans="1:7">
      <c r="A22" s="28" t="s">
        <v>86</v>
      </c>
      <c r="B22" s="28">
        <f>COUNTIF(Checklist!$F$3:$F$22,A22)</f>
        <v>0</v>
      </c>
    </row>
    <row r="23" spans="1:7" ht="15">
      <c r="A23" s="30" t="s">
        <v>87</v>
      </c>
      <c r="B23" s="30">
        <f>COUNTIF(Checklist!$F$3:$F$22,A23)</f>
        <v>0</v>
      </c>
      <c r="E23" s="67" t="s">
        <v>88</v>
      </c>
      <c r="F23" s="67"/>
      <c r="G23" s="67"/>
    </row>
    <row r="24" spans="1:7" ht="15">
      <c r="A24" s="30" t="s">
        <v>89</v>
      </c>
      <c r="B24" s="30">
        <f>COUNTIF(Checklist!$F$3:$F$22,A24)</f>
        <v>0</v>
      </c>
      <c r="E24" s="6" t="s">
        <v>90</v>
      </c>
      <c r="F24" s="64" t="s">
        <v>91</v>
      </c>
      <c r="G24" s="65"/>
    </row>
    <row r="25" spans="1:7" ht="15">
      <c r="A25" s="30" t="s">
        <v>92</v>
      </c>
      <c r="B25" s="30">
        <f>COUNTIF(Checklist!$F$3:$F$22,A25)</f>
        <v>0</v>
      </c>
      <c r="E25" s="6" t="s">
        <v>1</v>
      </c>
      <c r="F25" s="64" t="s">
        <v>93</v>
      </c>
      <c r="G25" s="65"/>
    </row>
    <row r="26" spans="1:7" ht="15">
      <c r="A26" s="30" t="s">
        <v>94</v>
      </c>
      <c r="B26" s="30">
        <f>COUNTIF(Checklist!$F$3:$F$22,A26)</f>
        <v>0</v>
      </c>
      <c r="E26" s="6" t="s">
        <v>95</v>
      </c>
      <c r="F26" s="64"/>
      <c r="G26" s="65"/>
    </row>
    <row r="27" spans="1:7" ht="15">
      <c r="A27" s="32" t="s">
        <v>96</v>
      </c>
      <c r="B27" s="32">
        <f>COUNTIF(Checklist!$F$3:$F$22,A27)</f>
        <v>0</v>
      </c>
      <c r="E27" s="6" t="s">
        <v>97</v>
      </c>
      <c r="F27" s="64"/>
      <c r="G27" s="65"/>
    </row>
    <row r="28" spans="1:7" ht="15">
      <c r="A28" s="32" t="s">
        <v>98</v>
      </c>
      <c r="B28" s="32">
        <f>COUNTIF(Checklist!$F$3:$F$22,A28)</f>
        <v>0</v>
      </c>
      <c r="E28" s="6" t="s">
        <v>99</v>
      </c>
      <c r="F28" s="65"/>
      <c r="G28" s="65"/>
    </row>
    <row r="29" spans="1:7">
      <c r="A29" s="32" t="s">
        <v>100</v>
      </c>
      <c r="B29" s="32">
        <f>COUNTIF(Checklist!$F$3:$F$22,A29)</f>
        <v>0</v>
      </c>
    </row>
    <row r="30" spans="1:7">
      <c r="A30" s="32" t="s">
        <v>101</v>
      </c>
      <c r="B30" s="32">
        <f>COUNTIF(Checklist!$F$3:$F$22,A30)</f>
        <v>0</v>
      </c>
    </row>
  </sheetData>
  <mergeCells count="10">
    <mergeCell ref="A1:F1"/>
    <mergeCell ref="E9:G9"/>
    <mergeCell ref="F10:G10"/>
    <mergeCell ref="F11:G11"/>
    <mergeCell ref="E23:G23"/>
    <mergeCell ref="F24:G24"/>
    <mergeCell ref="F25:G25"/>
    <mergeCell ref="F26:G26"/>
    <mergeCell ref="F27:G27"/>
    <mergeCell ref="F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2026-09-01T16:56:31Z</dcterms:created>
  <dcterms:modified xsi:type="dcterms:W3CDTF">2026-09-10T15:06:57Z</dcterms:modified>
  <cp:category/>
  <cp:contentStatus/>
</cp:coreProperties>
</file>